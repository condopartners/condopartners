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lanOliveiraPaiva\Documents\Clique-Deal\"/>
    </mc:Choice>
  </mc:AlternateContent>
  <xr:revisionPtr revIDLastSave="0" documentId="13_ncr:1_{3F29AC19-8510-4DDE-AFD6-86FFD2E1613E}" xr6:coauthVersionLast="47" xr6:coauthVersionMax="47" xr10:uidLastSave="{00000000-0000-0000-0000-000000000000}"/>
  <bookViews>
    <workbookView xWindow="20370" yWindow="-4740" windowWidth="29040" windowHeight="15720" activeTab="1" xr2:uid="{5FEA9AC7-05B0-4CD6-9702-E3282F44FF78}"/>
  </bookViews>
  <sheets>
    <sheet name="Comissões" sheetId="1" r:id="rId1"/>
    <sheet name="Funcionalidades" sheetId="2" r:id="rId2"/>
    <sheet name="OBS" sheetId="3" r:id="rId3"/>
  </sheets>
  <definedNames>
    <definedName name="_xlnm._FilterDatabase" localSheetId="0" hidden="1">Comissões!$J$1:$K$6</definedName>
    <definedName name="_xlnm._FilterDatabase" localSheetId="1" hidden="1">Funcionalidades!#REF!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1" l="1"/>
  <c r="E5" i="1"/>
  <c r="G5" i="1" s="1"/>
  <c r="D6" i="1"/>
  <c r="D7" i="1"/>
  <c r="D36" i="1"/>
  <c r="D20" i="1"/>
  <c r="E6" i="1" l="1"/>
  <c r="G6" i="1" s="1"/>
  <c r="F5" i="1"/>
  <c r="H5" i="1" s="1"/>
  <c r="D8" i="1"/>
  <c r="E7" i="1"/>
  <c r="G7" i="1" s="1"/>
  <c r="F6" i="1"/>
  <c r="H6" i="1" s="1"/>
  <c r="F36" i="1"/>
  <c r="D37" i="1" s="1"/>
  <c r="E36" i="1"/>
  <c r="G36" i="1" s="1"/>
  <c r="F20" i="1"/>
  <c r="D21" i="1" s="1"/>
  <c r="E20" i="1"/>
  <c r="G20" i="1" s="1"/>
  <c r="F7" i="1" l="1"/>
  <c r="H7" i="1" s="1"/>
  <c r="D9" i="1"/>
  <c r="E8" i="1"/>
  <c r="G8" i="1" s="1"/>
  <c r="E37" i="1"/>
  <c r="F37" i="1"/>
  <c r="D38" i="1" s="1"/>
  <c r="E21" i="1"/>
  <c r="F21" i="1"/>
  <c r="D22" i="1" s="1"/>
  <c r="H36" i="1"/>
  <c r="G21" i="1"/>
  <c r="H20" i="1"/>
  <c r="F8" i="1" l="1"/>
  <c r="H8" i="1" s="1"/>
  <c r="D10" i="1"/>
  <c r="E9" i="1"/>
  <c r="G9" i="1" s="1"/>
  <c r="E38" i="1"/>
  <c r="F38" i="1"/>
  <c r="D39" i="1" s="1"/>
  <c r="F22" i="1"/>
  <c r="D23" i="1" s="1"/>
  <c r="E22" i="1"/>
  <c r="G22" i="1" s="1"/>
  <c r="H21" i="1"/>
  <c r="F9" i="1" l="1"/>
  <c r="H9" i="1" s="1"/>
  <c r="D11" i="1"/>
  <c r="E10" i="1"/>
  <c r="G10" i="1" s="1"/>
  <c r="F23" i="1"/>
  <c r="D24" i="1" s="1"/>
  <c r="E23" i="1"/>
  <c r="F39" i="1"/>
  <c r="D40" i="1" s="1"/>
  <c r="E39" i="1"/>
  <c r="E24" i="1"/>
  <c r="F24" i="1"/>
  <c r="D25" i="1" s="1"/>
  <c r="H22" i="1"/>
  <c r="G23" i="1"/>
  <c r="F10" i="1" l="1"/>
  <c r="H10" i="1" s="1"/>
  <c r="D12" i="1"/>
  <c r="E11" i="1"/>
  <c r="G11" i="1" s="1"/>
  <c r="F40" i="1"/>
  <c r="D41" i="1" s="1"/>
  <c r="E40" i="1"/>
  <c r="E25" i="1"/>
  <c r="F25" i="1"/>
  <c r="D26" i="1" s="1"/>
  <c r="H23" i="1"/>
  <c r="G24" i="1"/>
  <c r="F11" i="1" l="1"/>
  <c r="H11" i="1" s="1"/>
  <c r="D13" i="1"/>
  <c r="E12" i="1"/>
  <c r="G12" i="1" s="1"/>
  <c r="F41" i="1"/>
  <c r="D42" i="1" s="1"/>
  <c r="E41" i="1"/>
  <c r="F26" i="1"/>
  <c r="D27" i="1" s="1"/>
  <c r="E26" i="1"/>
  <c r="H24" i="1"/>
  <c r="G25" i="1"/>
  <c r="D14" i="1" l="1"/>
  <c r="F12" i="1"/>
  <c r="H12" i="1" s="1"/>
  <c r="E13" i="1"/>
  <c r="G13" i="1" s="1"/>
  <c r="F42" i="1"/>
  <c r="D43" i="1" s="1"/>
  <c r="E42" i="1"/>
  <c r="E27" i="1"/>
  <c r="F27" i="1"/>
  <c r="D28" i="1" s="1"/>
  <c r="G26" i="1"/>
  <c r="H25" i="1"/>
  <c r="F13" i="1" l="1"/>
  <c r="H13" i="1" s="1"/>
  <c r="E14" i="1"/>
  <c r="E43" i="1"/>
  <c r="F43" i="1"/>
  <c r="D44" i="1" s="1"/>
  <c r="E28" i="1"/>
  <c r="F28" i="1"/>
  <c r="D29" i="1" s="1"/>
  <c r="E29" i="1" s="1"/>
  <c r="H26" i="1"/>
  <c r="G27" i="1"/>
  <c r="F15" i="1" l="1"/>
  <c r="H15" i="1" s="1"/>
  <c r="G14" i="1"/>
  <c r="F44" i="1"/>
  <c r="D45" i="1" s="1"/>
  <c r="E45" i="1" s="1"/>
  <c r="E44" i="1"/>
  <c r="H27" i="1"/>
  <c r="G28" i="1"/>
  <c r="H28" i="1" l="1"/>
  <c r="F30" i="1" l="1"/>
  <c r="H30" i="1" s="1"/>
  <c r="G29" i="1"/>
  <c r="H37" i="1" l="1"/>
  <c r="G37" i="1" l="1"/>
  <c r="G38" i="1"/>
  <c r="H38" i="1" l="1"/>
  <c r="G39" i="1" l="1"/>
  <c r="H39" i="1" l="1"/>
  <c r="G40" i="1" l="1"/>
  <c r="H40" i="1" l="1"/>
  <c r="G41" i="1" l="1"/>
  <c r="H41" i="1" l="1"/>
  <c r="G42" i="1" l="1"/>
  <c r="H42" i="1" l="1"/>
  <c r="G43" i="1" l="1"/>
  <c r="H43" i="1" l="1"/>
  <c r="G44" i="1" l="1"/>
  <c r="H44" i="1" l="1"/>
  <c r="F46" i="1" l="1"/>
  <c r="H46" i="1" s="1"/>
  <c r="G45" i="1"/>
</calcChain>
</file>

<file path=xl/sharedStrings.xml><?xml version="1.0" encoding="utf-8"?>
<sst xmlns="http://schemas.openxmlformats.org/spreadsheetml/2006/main" count="275" uniqueCount="91">
  <si>
    <t>Valor base</t>
  </si>
  <si>
    <t>P1</t>
  </si>
  <si>
    <t>Comissão</t>
  </si>
  <si>
    <t>-</t>
  </si>
  <si>
    <t>P2</t>
  </si>
  <si>
    <t>P3</t>
  </si>
  <si>
    <t>Parceiro</t>
  </si>
  <si>
    <t>Comissão Autor</t>
  </si>
  <si>
    <t>QTD Venda</t>
  </si>
  <si>
    <t>QTD Vendas</t>
  </si>
  <si>
    <t>Contrato</t>
  </si>
  <si>
    <t>Base Custo</t>
  </si>
  <si>
    <t>Contrato Máximo</t>
  </si>
  <si>
    <t>Quanto o Parceiro ganha do Parceiro(+1)</t>
  </si>
  <si>
    <t>Valor Total do Contrato</t>
  </si>
  <si>
    <t>Valor Total do Locker</t>
  </si>
  <si>
    <t>Base de Custo do Trâmite &gt; Clique &gt; Parceiros</t>
  </si>
  <si>
    <t>Quanto o Parceiro ganha</t>
  </si>
  <si>
    <t>Valor Hierárquico</t>
  </si>
  <si>
    <t>Total Comissões Autor+Cos</t>
  </si>
  <si>
    <t>Comissão Coautor</t>
  </si>
  <si>
    <t>Proposta 2: O Modelo "Proporcional" (Justo)</t>
  </si>
  <si>
    <t>Proposta 1: O Modelo "Fixo" (Garantia do Topo)</t>
  </si>
  <si>
    <t>Proposta 3: O Modelo "Split com Trava" (Sócio do Negócio)</t>
  </si>
  <si>
    <t>Funcionalidades</t>
  </si>
  <si>
    <t xml:space="preserve">Aprovar cadastro </t>
  </si>
  <si>
    <t>Aprovar Contrato</t>
  </si>
  <si>
    <t>Cancelar Contrato</t>
  </si>
  <si>
    <t>Listar Propostas</t>
  </si>
  <si>
    <t>Editar Propostas</t>
  </si>
  <si>
    <t>CRUD Tabela de Preço - UF</t>
  </si>
  <si>
    <t>Cadastrar condomínios</t>
  </si>
  <si>
    <t xml:space="preserve">Limite de condomínios </t>
  </si>
  <si>
    <t>Gestão Financeira</t>
  </si>
  <si>
    <t>Gestão de Carteiras</t>
  </si>
  <si>
    <t>Convidar Parceiro (Gerar Link)</t>
  </si>
  <si>
    <t>&gt;</t>
  </si>
  <si>
    <t>Valor Venda</t>
  </si>
  <si>
    <t>Proposta</t>
  </si>
  <si>
    <t>Status</t>
  </si>
  <si>
    <t>Vê subsequentes?</t>
  </si>
  <si>
    <t>Funcionalidade</t>
  </si>
  <si>
    <t>✅</t>
  </si>
  <si>
    <t>Aprovar Cadastro de Parceiro</t>
  </si>
  <si>
    <t>❌</t>
  </si>
  <si>
    <t>Ver Árvore de Subsequentes</t>
  </si>
  <si>
    <t>⚠️</t>
  </si>
  <si>
    <t>Bloquear/Inativar Parceiro</t>
  </si>
  <si>
    <t>Editar Proposta</t>
  </si>
  <si>
    <t>Admin N1</t>
  </si>
  <si>
    <t>Admin N2</t>
  </si>
  <si>
    <t>Admin N3</t>
  </si>
  <si>
    <t>Parc. Líder</t>
  </si>
  <si>
    <t>Detalhe / Regra para debate</t>
  </si>
  <si>
    <t>Se o Subsequente convidar alguém, ele vira Líder daquela nova ramificação?</t>
  </si>
  <si>
    <t>Líder vê apenas quem está abaixo dele (sem ver o custo base deles).</t>
  </si>
  <si>
    <t>Líder inativa apenas sua equipe. N1/N2 inativam qualquer um.</t>
  </si>
  <si>
    <t>🏢 Módulo 1: Gestão de Rede (Parceiros e Afiliação)</t>
  </si>
  <si>
    <t>🎯 Módulo 2: Operacional &amp; CRM (Condomínios)</t>
  </si>
  <si>
    <t>Todos têm acesso.</t>
  </si>
  <si>
    <t>Cadastrar/Reservar Condomínios</t>
  </si>
  <si>
    <t>Sistema barra CNPJ duplicado.</t>
  </si>
  <si>
    <t>Preencher Levantamento Téc.</t>
  </si>
  <si>
    <t>Exclusivo para quem está em campo fazendo a vistoria.</t>
  </si>
  <si>
    <t>Aprovar/Rejeitar Vistoria</t>
  </si>
  <si>
    <t>Papel técnico da Clique Retire (backoffice N3 faz o grosso disso).</t>
  </si>
  <si>
    <t>Gestão de Carteiras (Visão)</t>
  </si>
  <si>
    <t>N1/N2 veem tudo. N3 vê os que deve aprovar. Líder vê a equipe. Sub vê só os dele.</t>
  </si>
  <si>
    <t>Definir Limite de Condomínios</t>
  </si>
  <si>
    <t>Admin define a "Quota" máxima que cada parceiro pode travar.</t>
  </si>
  <si>
    <t>Excluir Registro Permanente</t>
  </si>
  <si>
    <t>Apenas o N1 limpa a base definitivamente.</t>
  </si>
  <si>
    <t>📝 Módulo 3: Gestão de Propostas e Contratos</t>
  </si>
  <si>
    <t>Parceiro define Valor de Venda respeitando seu Custo Base.</t>
  </si>
  <si>
    <t>Líder vê as propostas da equipe para ajudar a fechar.</t>
  </si>
  <si>
    <t>Apenas se o status for "Rascunho" ou "Pendente".</t>
  </si>
  <si>
    <t>Aprovar/Assinar Contrato</t>
  </si>
  <si>
    <t>Matriz bate o martelo (N1 ou N2).</t>
  </si>
  <si>
    <t>Apenas N1 (Diretoria) cancela, pois envolve estorno de comissão.</t>
  </si>
  <si>
    <t>💰 Módulo 4: Gestão Financeira &amp; Tabelas</t>
  </si>
  <si>
    <t>Configuração master: Define Teto e Custo Base por Estado.</t>
  </si>
  <si>
    <t>Dashboard Financeiro (Macro)</t>
  </si>
  <si>
    <t>Visão de faturamento total, comissões a pagar.</t>
  </si>
  <si>
    <t>Visão de Comissões (Micro)</t>
  </si>
  <si>
    <t>Parceiros veem apenas "Saldo Liberado" e "Saldo Futuro" das próprias vendas (e override da equipe para o Líder).</t>
  </si>
  <si>
    <t>Admins aprovam todos.</t>
  </si>
  <si>
    <t>Busca de Disponibilidade</t>
  </si>
  <si>
    <t>Definir Prazo Expiração (Reserva)</t>
  </si>
  <si>
    <t>Definir como Bloqueado (Condomínio)</t>
  </si>
  <si>
    <t>Cadastro Módulos Disponíveis (Catalogo)</t>
  </si>
  <si>
    <t>Gerar Proposta (Simulador, Define o preço da proposta, Indica modelos)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</si>
</sst>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4" fontId="0" fillId="0" borderId="4" xfId="0" applyNumberFormat="1" applyBorder="1" applyAlignment="1"/>
    <xf numFmtId="44" fontId="0" fillId="0" borderId="5" xfId="0" applyNumberFormat="1" applyBorder="1" applyAlignment="1"/>
    <xf numFmtId="43" fontId="0" fillId="0" borderId="7" xfId="0" applyNumberFormat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44" fontId="0" fillId="0" borderId="10" xfId="0" applyNumberFormat="1" applyBorder="1" applyAlignment="1">
      <alignment horizontal="center"/>
    </xf>
    <xf numFmtId="44" fontId="0" fillId="0" borderId="6" xfId="0" applyNumberFormat="1" applyBorder="1" applyAlignment="1"/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4" fontId="0" fillId="4" borderId="10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/>
    <xf numFmtId="44" fontId="0" fillId="0" borderId="11" xfId="0" applyNumberFormat="1" applyFill="1" applyBorder="1" applyAlignment="1"/>
    <xf numFmtId="44" fontId="0" fillId="0" borderId="1" xfId="0" applyNumberFormat="1" applyFill="1" applyBorder="1" applyAlignment="1"/>
    <xf numFmtId="0" fontId="0" fillId="6" borderId="0" xfId="0" applyFill="1"/>
    <xf numFmtId="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B4138-9FDF-490C-AF94-A4B08A666B0C}">
  <sheetPr>
    <pageSetUpPr fitToPage="1"/>
  </sheetPr>
  <dimension ref="B1:K46"/>
  <sheetViews>
    <sheetView topLeftCell="B9" zoomScaleNormal="100" zoomScaleSheetLayoutView="115" workbookViewId="0">
      <selection activeCell="F20" sqref="F20:F23"/>
    </sheetView>
  </sheetViews>
  <sheetFormatPr defaultRowHeight="15" x14ac:dyDescent="0.25"/>
  <cols>
    <col min="1" max="1" width="3" style="2" customWidth="1"/>
    <col min="2" max="2" width="16.140625" style="2" bestFit="1" customWidth="1"/>
    <col min="3" max="3" width="17.85546875" style="2" customWidth="1"/>
    <col min="4" max="4" width="12.7109375" style="3" bestFit="1" customWidth="1"/>
    <col min="5" max="5" width="26.85546875" style="3" bestFit="1" customWidth="1"/>
    <col min="6" max="6" width="18.28515625" style="3" bestFit="1" customWidth="1"/>
    <col min="7" max="7" width="26.85546875" style="3" bestFit="1" customWidth="1"/>
    <col min="8" max="8" width="18.28515625" style="2" bestFit="1" customWidth="1"/>
    <col min="9" max="9" width="3" style="2" customWidth="1"/>
    <col min="10" max="10" width="18.28515625" style="2" bestFit="1" customWidth="1"/>
    <col min="11" max="11" width="41.85546875" style="2" bestFit="1" customWidth="1"/>
    <col min="12" max="12" width="3" style="2" customWidth="1"/>
    <col min="13" max="16384" width="9.140625" style="2"/>
  </cols>
  <sheetData>
    <row r="1" spans="2:11" ht="15.75" thickBot="1" x14ac:dyDescent="0.3">
      <c r="B1" t="s">
        <v>22</v>
      </c>
    </row>
    <row r="2" spans="2:11" ht="15.75" thickBot="1" x14ac:dyDescent="0.3">
      <c r="B2" s="23" t="s">
        <v>12</v>
      </c>
      <c r="C2" s="23" t="s">
        <v>10</v>
      </c>
      <c r="D2" s="23" t="s">
        <v>11</v>
      </c>
      <c r="E2" s="26" t="s">
        <v>8</v>
      </c>
      <c r="F2" s="27"/>
      <c r="G2" s="26" t="s">
        <v>9</v>
      </c>
      <c r="H2" s="27"/>
      <c r="J2" s="23" t="s">
        <v>11</v>
      </c>
      <c r="K2" s="2" t="s">
        <v>16</v>
      </c>
    </row>
    <row r="3" spans="2:11" s="11" customFormat="1" ht="15.75" thickBot="1" x14ac:dyDescent="0.3">
      <c r="B3" s="22">
        <v>1300</v>
      </c>
      <c r="C3" s="22">
        <v>1200</v>
      </c>
      <c r="D3" s="22">
        <v>1000</v>
      </c>
      <c r="E3" s="4">
        <v>1</v>
      </c>
      <c r="F3" s="5"/>
      <c r="G3" s="24">
        <v>10</v>
      </c>
      <c r="H3" s="25"/>
      <c r="J3" s="28" t="s">
        <v>7</v>
      </c>
      <c r="K3" s="11" t="s">
        <v>17</v>
      </c>
    </row>
    <row r="4" spans="2:11" x14ac:dyDescent="0.25">
      <c r="B4" s="19" t="s">
        <v>6</v>
      </c>
      <c r="C4" s="19" t="s">
        <v>20</v>
      </c>
      <c r="D4" s="19" t="s">
        <v>0</v>
      </c>
      <c r="E4" s="20" t="s">
        <v>7</v>
      </c>
      <c r="F4" s="21" t="s">
        <v>20</v>
      </c>
      <c r="G4" s="20" t="s">
        <v>7</v>
      </c>
      <c r="H4" s="21" t="s">
        <v>20</v>
      </c>
      <c r="J4" s="28" t="s">
        <v>20</v>
      </c>
      <c r="K4" s="2" t="s">
        <v>13</v>
      </c>
    </row>
    <row r="5" spans="2:11" x14ac:dyDescent="0.25">
      <c r="B5" s="13">
        <v>1</v>
      </c>
      <c r="C5" s="15">
        <v>0.1</v>
      </c>
      <c r="D5" s="16">
        <f>D3</f>
        <v>1000</v>
      </c>
      <c r="E5" s="6">
        <f>SUM(C$3-D5)</f>
        <v>200</v>
      </c>
      <c r="F5" s="7">
        <f>SUM(D6-D5)</f>
        <v>30</v>
      </c>
      <c r="G5" s="6">
        <f>E5*G$3</f>
        <v>2000</v>
      </c>
      <c r="H5" s="7">
        <f>F5*G$3</f>
        <v>300</v>
      </c>
      <c r="J5" s="29" t="s">
        <v>10</v>
      </c>
      <c r="K5" s="2" t="s">
        <v>14</v>
      </c>
    </row>
    <row r="6" spans="2:11" x14ac:dyDescent="0.25">
      <c r="B6" s="13">
        <v>2</v>
      </c>
      <c r="C6" s="15">
        <v>0.1</v>
      </c>
      <c r="D6" s="16">
        <f>(($B$3-D5)*C5)+D5</f>
        <v>1030</v>
      </c>
      <c r="E6" s="6">
        <f>SUM(C$3-D6)</f>
        <v>170</v>
      </c>
      <c r="F6" s="7">
        <f>SUM(D7-D6)</f>
        <v>27</v>
      </c>
      <c r="G6" s="6">
        <f>E6*G$3</f>
        <v>1700</v>
      </c>
      <c r="H6" s="7">
        <f>F6*G$3</f>
        <v>270</v>
      </c>
      <c r="J6" s="29" t="s">
        <v>12</v>
      </c>
      <c r="K6" s="2" t="s">
        <v>15</v>
      </c>
    </row>
    <row r="7" spans="2:11" ht="15.75" thickBot="1" x14ac:dyDescent="0.3">
      <c r="B7" s="13">
        <v>3</v>
      </c>
      <c r="C7" s="15">
        <v>0.1</v>
      </c>
      <c r="D7" s="16">
        <f>(($B$3-D6)*C6)+D6</f>
        <v>1057</v>
      </c>
      <c r="E7" s="6">
        <f>SUM(C$3-D7)</f>
        <v>143</v>
      </c>
      <c r="F7" s="7">
        <f>SUM(D8-D7)</f>
        <v>24.299999999999955</v>
      </c>
      <c r="G7" s="6">
        <f>E7*G$3</f>
        <v>1430</v>
      </c>
      <c r="H7" s="7">
        <f>F7*G$3</f>
        <v>242.99999999999955</v>
      </c>
      <c r="J7" s="30" t="s">
        <v>6</v>
      </c>
      <c r="K7" s="2" t="s">
        <v>18</v>
      </c>
    </row>
    <row r="8" spans="2:11" x14ac:dyDescent="0.25">
      <c r="B8" s="13">
        <v>4</v>
      </c>
      <c r="C8" s="15">
        <v>0.1</v>
      </c>
      <c r="D8" s="16">
        <f>(($B$3-D7)*C7)+D7</f>
        <v>1081.3</v>
      </c>
      <c r="E8" s="6">
        <f>SUM(C$3-D8)</f>
        <v>118.70000000000005</v>
      </c>
      <c r="F8" s="7">
        <f>SUM(D9-D8)</f>
        <v>21.870000000000118</v>
      </c>
      <c r="G8" s="6">
        <f>E8*G$3</f>
        <v>1187.0000000000005</v>
      </c>
      <c r="H8" s="7">
        <f>F8*G$3</f>
        <v>218.70000000000118</v>
      </c>
    </row>
    <row r="9" spans="2:11" x14ac:dyDescent="0.25">
      <c r="B9" s="13">
        <v>5</v>
      </c>
      <c r="C9" s="15">
        <v>0.1</v>
      </c>
      <c r="D9" s="16">
        <f>(($B$3-D8)*C8)+D8</f>
        <v>1103.17</v>
      </c>
      <c r="E9" s="6">
        <f>SUM(C$3-D9)</f>
        <v>96.829999999999927</v>
      </c>
      <c r="F9" s="7">
        <f>SUM(D10-D9)</f>
        <v>19.682999999999993</v>
      </c>
      <c r="G9" s="6">
        <f>E9*G$3</f>
        <v>968.29999999999927</v>
      </c>
      <c r="H9" s="7">
        <f>F9*G$3</f>
        <v>196.82999999999993</v>
      </c>
    </row>
    <row r="10" spans="2:11" x14ac:dyDescent="0.25">
      <c r="B10" s="13">
        <v>6</v>
      </c>
      <c r="C10" s="15">
        <v>0.1</v>
      </c>
      <c r="D10" s="16">
        <f>(($B$3-D9)*C9)+D9</f>
        <v>1122.8530000000001</v>
      </c>
      <c r="E10" s="6">
        <f>SUM(C$3-D10)</f>
        <v>77.146999999999935</v>
      </c>
      <c r="F10" s="7">
        <f>SUM(D11-D10)</f>
        <v>17.714699999999993</v>
      </c>
      <c r="G10" s="6">
        <f>E10*G$3</f>
        <v>771.46999999999935</v>
      </c>
      <c r="H10" s="7">
        <f>F10*G$3</f>
        <v>177.14699999999993</v>
      </c>
    </row>
    <row r="11" spans="2:11" x14ac:dyDescent="0.25">
      <c r="B11" s="13">
        <v>7</v>
      </c>
      <c r="C11" s="15">
        <v>0.1</v>
      </c>
      <c r="D11" s="16">
        <f>(($B$3-D10)*C10)+D10</f>
        <v>1140.5677000000001</v>
      </c>
      <c r="E11" s="6">
        <f>SUM(C$3-D11)</f>
        <v>59.432299999999941</v>
      </c>
      <c r="F11" s="7">
        <f>SUM(D12-D11)</f>
        <v>15.943230000000085</v>
      </c>
      <c r="G11" s="6">
        <f>E11*G$3</f>
        <v>594.32299999999941</v>
      </c>
      <c r="H11" s="7">
        <f>F11*G$3</f>
        <v>159.43230000000085</v>
      </c>
    </row>
    <row r="12" spans="2:11" x14ac:dyDescent="0.25">
      <c r="B12" s="13">
        <v>8</v>
      </c>
      <c r="C12" s="15">
        <v>0.1</v>
      </c>
      <c r="D12" s="16">
        <f>(($B$3-D11)*C11)+D11</f>
        <v>1156.5109300000001</v>
      </c>
      <c r="E12" s="6">
        <f>SUM(C$3-D12)</f>
        <v>43.489069999999856</v>
      </c>
      <c r="F12" s="7">
        <f>SUM(D13-D12)</f>
        <v>14.348907000000054</v>
      </c>
      <c r="G12" s="6">
        <f>E12*G$3</f>
        <v>434.89069999999856</v>
      </c>
      <c r="H12" s="7">
        <f>F12*G$3</f>
        <v>143.48907000000054</v>
      </c>
    </row>
    <row r="13" spans="2:11" x14ac:dyDescent="0.25">
      <c r="B13" s="13">
        <v>9</v>
      </c>
      <c r="C13" s="15">
        <v>0.1</v>
      </c>
      <c r="D13" s="16">
        <f>(($B$3-D12)*C12)+D12</f>
        <v>1170.8598370000002</v>
      </c>
      <c r="E13" s="6">
        <f>SUM(C$3-D13)</f>
        <v>29.140162999999802</v>
      </c>
      <c r="F13" s="7">
        <f>SUM(D14-D13)</f>
        <v>12.914016299999957</v>
      </c>
      <c r="G13" s="6">
        <f>E13*G$3</f>
        <v>291.40162999999802</v>
      </c>
      <c r="H13" s="7">
        <f>F13*G$3</f>
        <v>129.14016299999957</v>
      </c>
    </row>
    <row r="14" spans="2:11" ht="15.75" thickBot="1" x14ac:dyDescent="0.3">
      <c r="B14" s="14">
        <v>10</v>
      </c>
      <c r="C14" s="15">
        <v>0.1</v>
      </c>
      <c r="D14" s="17">
        <f>(($B$3-D13)*C13)+D13</f>
        <v>1183.7738533000002</v>
      </c>
      <c r="E14" s="18">
        <f>SUM(C$3-D14)</f>
        <v>16.226146699999845</v>
      </c>
      <c r="F14" s="8" t="s">
        <v>3</v>
      </c>
      <c r="G14" s="18">
        <f>E14*G$3</f>
        <v>162.26146699999845</v>
      </c>
      <c r="H14" s="8" t="s">
        <v>3</v>
      </c>
    </row>
    <row r="15" spans="2:11" ht="15.75" thickBot="1" x14ac:dyDescent="0.3">
      <c r="E15" s="31" t="s">
        <v>19</v>
      </c>
      <c r="F15" s="32">
        <f>SUM(E14,F5:F13)</f>
        <v>200</v>
      </c>
      <c r="G15" s="31" t="s">
        <v>19</v>
      </c>
      <c r="H15" s="33">
        <f>F15*G$3</f>
        <v>2000</v>
      </c>
    </row>
    <row r="16" spans="2:11" ht="15.75" thickBot="1" x14ac:dyDescent="0.3">
      <c r="B16" t="s">
        <v>21</v>
      </c>
    </row>
    <row r="17" spans="2:11" ht="15.75" thickBot="1" x14ac:dyDescent="0.3">
      <c r="B17" s="23" t="s">
        <v>12</v>
      </c>
      <c r="C17" s="23" t="s">
        <v>10</v>
      </c>
      <c r="D17" s="23" t="s">
        <v>11</v>
      </c>
      <c r="E17" s="26" t="s">
        <v>8</v>
      </c>
      <c r="F17" s="27"/>
      <c r="G17" s="26" t="s">
        <v>9</v>
      </c>
      <c r="H17" s="27"/>
      <c r="I17" s="11"/>
      <c r="J17" s="23" t="s">
        <v>11</v>
      </c>
      <c r="K17" s="11" t="s">
        <v>16</v>
      </c>
    </row>
    <row r="18" spans="2:11" ht="15.75" thickBot="1" x14ac:dyDescent="0.3">
      <c r="B18" s="22">
        <v>1300</v>
      </c>
      <c r="C18" s="22">
        <v>1200</v>
      </c>
      <c r="D18" s="22">
        <v>1000</v>
      </c>
      <c r="E18" s="4">
        <v>1</v>
      </c>
      <c r="F18" s="5"/>
      <c r="G18" s="24">
        <v>10</v>
      </c>
      <c r="H18" s="25"/>
      <c r="I18" s="11"/>
      <c r="J18" s="28" t="s">
        <v>7</v>
      </c>
      <c r="K18" s="11" t="s">
        <v>17</v>
      </c>
    </row>
    <row r="19" spans="2:11" x14ac:dyDescent="0.25">
      <c r="B19" s="19" t="s">
        <v>6</v>
      </c>
      <c r="C19" s="19" t="s">
        <v>20</v>
      </c>
      <c r="D19" s="19" t="s">
        <v>0</v>
      </c>
      <c r="E19" s="20" t="s">
        <v>7</v>
      </c>
      <c r="F19" s="21" t="s">
        <v>20</v>
      </c>
      <c r="G19" s="20" t="s">
        <v>7</v>
      </c>
      <c r="H19" s="21" t="s">
        <v>20</v>
      </c>
      <c r="I19" s="11"/>
      <c r="J19" s="28" t="s">
        <v>20</v>
      </c>
      <c r="K19" s="11" t="s">
        <v>13</v>
      </c>
    </row>
    <row r="20" spans="2:11" x14ac:dyDescent="0.25">
      <c r="B20" s="13">
        <v>1</v>
      </c>
      <c r="C20" s="15">
        <v>0.1</v>
      </c>
      <c r="D20" s="16">
        <f>$D$3</f>
        <v>1000</v>
      </c>
      <c r="E20" s="6">
        <f>$C$3-D20</f>
        <v>200</v>
      </c>
      <c r="F20" s="7">
        <f>(($C$3-D20)*C20)</f>
        <v>20</v>
      </c>
      <c r="G20" s="6">
        <f>E20*G$3</f>
        <v>2000</v>
      </c>
      <c r="H20" s="7">
        <f>F20*G$3</f>
        <v>200</v>
      </c>
      <c r="I20" s="11"/>
      <c r="J20" s="29" t="s">
        <v>10</v>
      </c>
      <c r="K20" s="11" t="s">
        <v>14</v>
      </c>
    </row>
    <row r="21" spans="2:11" x14ac:dyDescent="0.25">
      <c r="B21" s="13">
        <v>2</v>
      </c>
      <c r="C21" s="15">
        <v>0.1</v>
      </c>
      <c r="D21" s="16">
        <f>D20+F20</f>
        <v>1020</v>
      </c>
      <c r="E21" s="6">
        <f>$C$3-D21</f>
        <v>180</v>
      </c>
      <c r="F21" s="7">
        <f>(($C$3-D21)*C21)</f>
        <v>18</v>
      </c>
      <c r="G21" s="6">
        <f>E21*G$3</f>
        <v>1800</v>
      </c>
      <c r="H21" s="7">
        <f>F21*G$3</f>
        <v>180</v>
      </c>
      <c r="I21" s="11"/>
      <c r="J21" s="29" t="s">
        <v>12</v>
      </c>
      <c r="K21" s="11" t="s">
        <v>15</v>
      </c>
    </row>
    <row r="22" spans="2:11" ht="15.75" thickBot="1" x14ac:dyDescent="0.3">
      <c r="B22" s="13">
        <v>3</v>
      </c>
      <c r="C22" s="15">
        <v>0.1</v>
      </c>
      <c r="D22" s="16">
        <f t="shared" ref="D22:D29" si="0">D21+F21</f>
        <v>1038</v>
      </c>
      <c r="E22" s="6">
        <f>$C$3-D22</f>
        <v>162</v>
      </c>
      <c r="F22" s="7">
        <f>(($C$3-D22)*C22)</f>
        <v>16.2</v>
      </c>
      <c r="G22" s="6">
        <f>E22*G$3</f>
        <v>1620</v>
      </c>
      <c r="H22" s="7">
        <f>F22*G$3</f>
        <v>162</v>
      </c>
      <c r="I22" s="11"/>
      <c r="J22" s="30" t="s">
        <v>6</v>
      </c>
      <c r="K22" s="11" t="s">
        <v>18</v>
      </c>
    </row>
    <row r="23" spans="2:11" x14ac:dyDescent="0.25">
      <c r="B23" s="13">
        <v>4</v>
      </c>
      <c r="C23" s="15">
        <v>0.1</v>
      </c>
      <c r="D23" s="16">
        <f t="shared" si="0"/>
        <v>1054.2</v>
      </c>
      <c r="E23" s="6">
        <f>$C$3-D23</f>
        <v>145.79999999999995</v>
      </c>
      <c r="F23" s="7">
        <f>(($C$3-D23)*C23)</f>
        <v>14.579999999999997</v>
      </c>
      <c r="G23" s="6">
        <f>E23*G$3</f>
        <v>1457.9999999999995</v>
      </c>
      <c r="H23" s="7">
        <f>F23*G$3</f>
        <v>145.79999999999995</v>
      </c>
      <c r="I23" s="11"/>
      <c r="J23" s="11"/>
      <c r="K23" s="11"/>
    </row>
    <row r="24" spans="2:11" x14ac:dyDescent="0.25">
      <c r="B24" s="13">
        <v>5</v>
      </c>
      <c r="C24" s="15">
        <v>0.1</v>
      </c>
      <c r="D24" s="16">
        <f t="shared" si="0"/>
        <v>1068.78</v>
      </c>
      <c r="E24" s="6">
        <f>$C$3-D24</f>
        <v>131.22000000000003</v>
      </c>
      <c r="F24" s="7">
        <f>(($C$3-D24)*C24)</f>
        <v>13.122000000000003</v>
      </c>
      <c r="G24" s="6">
        <f>E24*G$3</f>
        <v>1312.2000000000003</v>
      </c>
      <c r="H24" s="7">
        <f>F24*G$3</f>
        <v>131.22000000000003</v>
      </c>
      <c r="I24" s="11"/>
      <c r="J24" s="11"/>
      <c r="K24" s="11"/>
    </row>
    <row r="25" spans="2:11" x14ac:dyDescent="0.25">
      <c r="B25" s="13">
        <v>6</v>
      </c>
      <c r="C25" s="15">
        <v>0.1</v>
      </c>
      <c r="D25" s="16">
        <f t="shared" si="0"/>
        <v>1081.902</v>
      </c>
      <c r="E25" s="6">
        <f>$C$3-D25</f>
        <v>118.09799999999996</v>
      </c>
      <c r="F25" s="7">
        <f>(($C$3-D25)*C25)</f>
        <v>11.809799999999996</v>
      </c>
      <c r="G25" s="6">
        <f>E25*G$3</f>
        <v>1180.9799999999996</v>
      </c>
      <c r="H25" s="7">
        <f>F25*G$3</f>
        <v>118.09799999999996</v>
      </c>
      <c r="I25" s="11"/>
      <c r="J25" s="11"/>
      <c r="K25" s="11"/>
    </row>
    <row r="26" spans="2:11" x14ac:dyDescent="0.25">
      <c r="B26" s="13">
        <v>7</v>
      </c>
      <c r="C26" s="15">
        <v>0.1</v>
      </c>
      <c r="D26" s="16">
        <f t="shared" si="0"/>
        <v>1093.7118</v>
      </c>
      <c r="E26" s="6">
        <f>$C$3-D26</f>
        <v>106.28819999999996</v>
      </c>
      <c r="F26" s="7">
        <f>(($C$3-D26)*C26)</f>
        <v>10.628819999999997</v>
      </c>
      <c r="G26" s="6">
        <f>E26*G$3</f>
        <v>1062.8819999999996</v>
      </c>
      <c r="H26" s="7">
        <f>F26*G$3</f>
        <v>106.28819999999997</v>
      </c>
      <c r="I26" s="11"/>
      <c r="J26" s="11"/>
      <c r="K26" s="11"/>
    </row>
    <row r="27" spans="2:11" x14ac:dyDescent="0.25">
      <c r="B27" s="13">
        <v>8</v>
      </c>
      <c r="C27" s="15">
        <v>0.1</v>
      </c>
      <c r="D27" s="16">
        <f t="shared" si="0"/>
        <v>1104.3406199999999</v>
      </c>
      <c r="E27" s="6">
        <f>$C$3-D27</f>
        <v>95.659380000000056</v>
      </c>
      <c r="F27" s="7">
        <f>(($C$3-D27)*C27)</f>
        <v>9.5659380000000063</v>
      </c>
      <c r="G27" s="6">
        <f>E27*G$3</f>
        <v>956.59380000000056</v>
      </c>
      <c r="H27" s="7">
        <f>F27*G$3</f>
        <v>95.659380000000056</v>
      </c>
      <c r="I27" s="11"/>
      <c r="J27" s="11"/>
      <c r="K27" s="11"/>
    </row>
    <row r="28" spans="2:11" x14ac:dyDescent="0.25">
      <c r="B28" s="13">
        <v>9</v>
      </c>
      <c r="C28" s="15">
        <v>0.1</v>
      </c>
      <c r="D28" s="16">
        <f t="shared" si="0"/>
        <v>1113.9065579999999</v>
      </c>
      <c r="E28" s="6">
        <f>$C$3-D28</f>
        <v>86.093442000000096</v>
      </c>
      <c r="F28" s="7">
        <f>(($C$3-D28)*C28)</f>
        <v>8.6093442000000096</v>
      </c>
      <c r="G28" s="6">
        <f>E28*G$3</f>
        <v>860.93442000000096</v>
      </c>
      <c r="H28" s="7">
        <f>F28*G$3</f>
        <v>86.093442000000096</v>
      </c>
      <c r="I28" s="11"/>
      <c r="J28" s="11"/>
      <c r="K28" s="11"/>
    </row>
    <row r="29" spans="2:11" ht="15.75" thickBot="1" x14ac:dyDescent="0.3">
      <c r="B29" s="14">
        <v>10</v>
      </c>
      <c r="C29" s="15">
        <v>0.1</v>
      </c>
      <c r="D29" s="16">
        <f t="shared" si="0"/>
        <v>1122.5159021999998</v>
      </c>
      <c r="E29" s="6">
        <f>$C$3-D29</f>
        <v>77.4840978000002</v>
      </c>
      <c r="F29" s="9" t="s">
        <v>3</v>
      </c>
      <c r="G29" s="18">
        <f>E29*G$3</f>
        <v>774.840978000002</v>
      </c>
      <c r="H29" s="8" t="s">
        <v>3</v>
      </c>
      <c r="I29" s="11"/>
      <c r="J29" s="11"/>
      <c r="K29" s="11"/>
    </row>
    <row r="30" spans="2:11" ht="15.75" thickBot="1" x14ac:dyDescent="0.3">
      <c r="B30" s="11"/>
      <c r="C30" s="11"/>
      <c r="D30" s="12"/>
      <c r="E30" s="31" t="s">
        <v>19</v>
      </c>
      <c r="F30" s="32">
        <f>SUM(E29,F20:F28)</f>
        <v>200.0000000000002</v>
      </c>
      <c r="G30" s="31" t="s">
        <v>19</v>
      </c>
      <c r="H30" s="33">
        <f>F30*G$3</f>
        <v>2000.000000000002</v>
      </c>
      <c r="I30" s="11"/>
      <c r="J30" s="11"/>
      <c r="K30" s="11"/>
    </row>
    <row r="31" spans="2:11" ht="15.75" thickBot="1" x14ac:dyDescent="0.3"/>
    <row r="32" spans="2:11" s="11" customFormat="1" ht="15.75" thickBot="1" x14ac:dyDescent="0.3">
      <c r="B32" t="s">
        <v>23</v>
      </c>
      <c r="C32" s="2"/>
      <c r="D32" s="3"/>
      <c r="E32" s="3"/>
      <c r="F32" s="3"/>
      <c r="G32" s="3"/>
      <c r="H32" s="2"/>
      <c r="J32" s="23" t="s">
        <v>11</v>
      </c>
      <c r="K32" s="11" t="s">
        <v>16</v>
      </c>
    </row>
    <row r="33" spans="2:11" s="11" customFormat="1" ht="15.75" thickBot="1" x14ac:dyDescent="0.3">
      <c r="B33" s="23" t="s">
        <v>12</v>
      </c>
      <c r="C33" s="23" t="s">
        <v>10</v>
      </c>
      <c r="D33" s="23" t="s">
        <v>11</v>
      </c>
      <c r="E33" s="26" t="s">
        <v>8</v>
      </c>
      <c r="F33" s="27"/>
      <c r="G33" s="26" t="s">
        <v>9</v>
      </c>
      <c r="H33" s="27"/>
      <c r="J33" s="28" t="s">
        <v>7</v>
      </c>
      <c r="K33" s="11" t="s">
        <v>17</v>
      </c>
    </row>
    <row r="34" spans="2:11" s="11" customFormat="1" ht="15.75" thickBot="1" x14ac:dyDescent="0.3">
      <c r="B34" s="22">
        <v>1300</v>
      </c>
      <c r="C34" s="22">
        <v>1200</v>
      </c>
      <c r="D34" s="22">
        <v>1000</v>
      </c>
      <c r="E34" s="4">
        <v>1</v>
      </c>
      <c r="F34" s="5"/>
      <c r="G34" s="24">
        <v>10</v>
      </c>
      <c r="H34" s="25"/>
      <c r="J34" s="28" t="s">
        <v>20</v>
      </c>
      <c r="K34" s="11" t="s">
        <v>13</v>
      </c>
    </row>
    <row r="35" spans="2:11" s="11" customFormat="1" x14ac:dyDescent="0.25">
      <c r="B35" s="19" t="s">
        <v>6</v>
      </c>
      <c r="C35" s="19" t="s">
        <v>20</v>
      </c>
      <c r="D35" s="19" t="s">
        <v>0</v>
      </c>
      <c r="E35" s="20" t="s">
        <v>7</v>
      </c>
      <c r="F35" s="21" t="s">
        <v>20</v>
      </c>
      <c r="G35" s="20" t="s">
        <v>7</v>
      </c>
      <c r="H35" s="21" t="s">
        <v>20</v>
      </c>
      <c r="J35" s="29" t="s">
        <v>10</v>
      </c>
      <c r="K35" s="11" t="s">
        <v>14</v>
      </c>
    </row>
    <row r="36" spans="2:11" s="11" customFormat="1" x14ac:dyDescent="0.25">
      <c r="B36" s="13">
        <v>1</v>
      </c>
      <c r="C36" s="15">
        <v>0.1</v>
      </c>
      <c r="D36" s="16">
        <f>$D$3</f>
        <v>1000</v>
      </c>
      <c r="E36" s="6">
        <f>$C$3-D36</f>
        <v>200</v>
      </c>
      <c r="F36" s="7">
        <f>MAX(10, (($C$3-D36)*C36))</f>
        <v>20</v>
      </c>
      <c r="G36" s="6">
        <f>E36*G$3</f>
        <v>2000</v>
      </c>
      <c r="H36" s="7">
        <f>F36*G$3</f>
        <v>200</v>
      </c>
      <c r="J36" s="29" t="s">
        <v>12</v>
      </c>
      <c r="K36" s="11" t="s">
        <v>15</v>
      </c>
    </row>
    <row r="37" spans="2:11" s="11" customFormat="1" ht="15.75" thickBot="1" x14ac:dyDescent="0.3">
      <c r="B37" s="13">
        <v>2</v>
      </c>
      <c r="C37" s="15">
        <v>0.1</v>
      </c>
      <c r="D37" s="16">
        <f>D36+F36</f>
        <v>1020</v>
      </c>
      <c r="E37" s="6">
        <f>$C$3-D37</f>
        <v>180</v>
      </c>
      <c r="F37" s="7">
        <f>MAX(10, (($C$3-D37)*C37))</f>
        <v>18</v>
      </c>
      <c r="G37" s="6">
        <f>E37*G$3</f>
        <v>1800</v>
      </c>
      <c r="H37" s="7">
        <f>F37*G$3</f>
        <v>180</v>
      </c>
      <c r="J37" s="30" t="s">
        <v>6</v>
      </c>
      <c r="K37" s="11" t="s">
        <v>18</v>
      </c>
    </row>
    <row r="38" spans="2:11" s="11" customFormat="1" x14ac:dyDescent="0.25">
      <c r="B38" s="13">
        <v>3</v>
      </c>
      <c r="C38" s="15">
        <v>0.1</v>
      </c>
      <c r="D38" s="16">
        <f t="shared" ref="D38:D45" si="1">D37+F37</f>
        <v>1038</v>
      </c>
      <c r="E38" s="6">
        <f>$C$3-D38</f>
        <v>162</v>
      </c>
      <c r="F38" s="7">
        <f>MAX(10, (($C$3-D38)*C38))</f>
        <v>16.2</v>
      </c>
      <c r="G38" s="6">
        <f>E38*G$3</f>
        <v>1620</v>
      </c>
      <c r="H38" s="7">
        <f>F38*G$3</f>
        <v>162</v>
      </c>
    </row>
    <row r="39" spans="2:11" s="11" customFormat="1" x14ac:dyDescent="0.25">
      <c r="B39" s="13">
        <v>4</v>
      </c>
      <c r="C39" s="15">
        <v>0.1</v>
      </c>
      <c r="D39" s="16">
        <f t="shared" si="1"/>
        <v>1054.2</v>
      </c>
      <c r="E39" s="6">
        <f>$C$3-D39</f>
        <v>145.79999999999995</v>
      </c>
      <c r="F39" s="7">
        <f>MAX(10, (($C$3-D39)*C39))</f>
        <v>14.579999999999997</v>
      </c>
      <c r="G39" s="6">
        <f>E39*G$3</f>
        <v>1457.9999999999995</v>
      </c>
      <c r="H39" s="7">
        <f>F39*G$3</f>
        <v>145.79999999999995</v>
      </c>
    </row>
    <row r="40" spans="2:11" s="11" customFormat="1" x14ac:dyDescent="0.25">
      <c r="B40" s="13">
        <v>5</v>
      </c>
      <c r="C40" s="15">
        <v>0.1</v>
      </c>
      <c r="D40" s="16">
        <f t="shared" si="1"/>
        <v>1068.78</v>
      </c>
      <c r="E40" s="6">
        <f>$C$3-D40</f>
        <v>131.22000000000003</v>
      </c>
      <c r="F40" s="7">
        <f>MAX(10, (($C$3-D40)*C40))</f>
        <v>13.122000000000003</v>
      </c>
      <c r="G40" s="6">
        <f>E40*G$3</f>
        <v>1312.2000000000003</v>
      </c>
      <c r="H40" s="7">
        <f>F40*G$3</f>
        <v>131.22000000000003</v>
      </c>
    </row>
    <row r="41" spans="2:11" s="11" customFormat="1" x14ac:dyDescent="0.25">
      <c r="B41" s="13">
        <v>6</v>
      </c>
      <c r="C41" s="15">
        <v>0.1</v>
      </c>
      <c r="D41" s="16">
        <f t="shared" si="1"/>
        <v>1081.902</v>
      </c>
      <c r="E41" s="6">
        <f>$C$3-D41</f>
        <v>118.09799999999996</v>
      </c>
      <c r="F41" s="7">
        <f>MAX(10, (($C$3-D41)*C41))</f>
        <v>11.809799999999996</v>
      </c>
      <c r="G41" s="6">
        <f>E41*G$3</f>
        <v>1180.9799999999996</v>
      </c>
      <c r="H41" s="7">
        <f>F41*G$3</f>
        <v>118.09799999999996</v>
      </c>
    </row>
    <row r="42" spans="2:11" s="11" customFormat="1" x14ac:dyDescent="0.25">
      <c r="B42" s="13">
        <v>7</v>
      </c>
      <c r="C42" s="15">
        <v>0.1</v>
      </c>
      <c r="D42" s="16">
        <f t="shared" si="1"/>
        <v>1093.7118</v>
      </c>
      <c r="E42" s="6">
        <f>$C$3-D42</f>
        <v>106.28819999999996</v>
      </c>
      <c r="F42" s="7">
        <f>MAX(10, (($C$3-D42)*C42))</f>
        <v>10.628819999999997</v>
      </c>
      <c r="G42" s="6">
        <f>E42*G$3</f>
        <v>1062.8819999999996</v>
      </c>
      <c r="H42" s="7">
        <f>F42*G$3</f>
        <v>106.28819999999997</v>
      </c>
    </row>
    <row r="43" spans="2:11" s="11" customFormat="1" x14ac:dyDescent="0.25">
      <c r="B43" s="13">
        <v>8</v>
      </c>
      <c r="C43" s="15">
        <v>0.1</v>
      </c>
      <c r="D43" s="16">
        <f t="shared" si="1"/>
        <v>1104.3406199999999</v>
      </c>
      <c r="E43" s="6">
        <f>$C$3-D43</f>
        <v>95.659380000000056</v>
      </c>
      <c r="F43" s="7">
        <f>MAX(10, (($C$3-D43)*C43))</f>
        <v>10</v>
      </c>
      <c r="G43" s="6">
        <f>E43*G$3</f>
        <v>956.59380000000056</v>
      </c>
      <c r="H43" s="7">
        <f>F43*G$3</f>
        <v>100</v>
      </c>
    </row>
    <row r="44" spans="2:11" s="11" customFormat="1" x14ac:dyDescent="0.25">
      <c r="B44" s="13">
        <v>9</v>
      </c>
      <c r="C44" s="15">
        <v>0.1</v>
      </c>
      <c r="D44" s="16">
        <f t="shared" si="1"/>
        <v>1114.3406199999999</v>
      </c>
      <c r="E44" s="6">
        <f>$C$3-D44</f>
        <v>85.659380000000056</v>
      </c>
      <c r="F44" s="7">
        <f>MAX(10, (($C$3-D44)*C44))</f>
        <v>10</v>
      </c>
      <c r="G44" s="6">
        <f>E44*G$3</f>
        <v>856.59380000000056</v>
      </c>
      <c r="H44" s="7">
        <f>F44*G$3</f>
        <v>100</v>
      </c>
    </row>
    <row r="45" spans="2:11" s="11" customFormat="1" ht="15.75" thickBot="1" x14ac:dyDescent="0.3">
      <c r="B45" s="14">
        <v>10</v>
      </c>
      <c r="C45" s="15">
        <v>0.1</v>
      </c>
      <c r="D45" s="16">
        <f t="shared" si="1"/>
        <v>1124.3406199999999</v>
      </c>
      <c r="E45" s="6">
        <f>$C$3-D45</f>
        <v>75.659380000000056</v>
      </c>
      <c r="F45" s="7" t="s">
        <v>3</v>
      </c>
      <c r="G45" s="18">
        <f>E45*G$3</f>
        <v>756.59380000000056</v>
      </c>
      <c r="H45" s="8" t="s">
        <v>3</v>
      </c>
    </row>
    <row r="46" spans="2:11" ht="15.75" thickBot="1" x14ac:dyDescent="0.3">
      <c r="B46" s="11"/>
      <c r="C46" s="11"/>
      <c r="D46" s="12"/>
      <c r="E46" s="31" t="s">
        <v>19</v>
      </c>
      <c r="F46" s="32">
        <f>SUM(E45,F36:F44)</f>
        <v>200.00000000000003</v>
      </c>
      <c r="G46" s="31" t="s">
        <v>19</v>
      </c>
      <c r="H46" s="33">
        <f>F46*G$3</f>
        <v>2000.0000000000002</v>
      </c>
    </row>
  </sheetData>
  <mergeCells count="12">
    <mergeCell ref="E33:F33"/>
    <mergeCell ref="G33:H33"/>
    <mergeCell ref="E34:F34"/>
    <mergeCell ref="G34:H34"/>
    <mergeCell ref="E17:F17"/>
    <mergeCell ref="G17:H17"/>
    <mergeCell ref="E18:F18"/>
    <mergeCell ref="G18:H18"/>
    <mergeCell ref="E3:F3"/>
    <mergeCell ref="G3:H3"/>
    <mergeCell ref="E2:F2"/>
    <mergeCell ref="G2:H2"/>
  </mergeCells>
  <phoneticPr fontId="1" type="noConversion"/>
  <conditionalFormatting sqref="B5:B14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B1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14 F15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3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C1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4 H1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4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14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D13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0:B2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B2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0:E29 F30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:F29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C2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:G29 H3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0:H2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0:D29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0:D29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B4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6:B4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6:E45 F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6:F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C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6:G45 H4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6:H4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6:D4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6:D4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  <pageSetup paperSize="9" scale="67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F41F-8F16-4CCD-8EAD-DC2810CE97FA}">
  <sheetPr>
    <pageSetUpPr fitToPage="1"/>
  </sheetPr>
  <dimension ref="B5:G64"/>
  <sheetViews>
    <sheetView tabSelected="1" topLeftCell="A20" zoomScaleNormal="100" workbookViewId="0">
      <selection activeCell="F31" sqref="F31"/>
    </sheetView>
  </sheetViews>
  <sheetFormatPr defaultRowHeight="15" x14ac:dyDescent="0.25"/>
  <cols>
    <col min="2" max="2" width="66.5703125" bestFit="1" customWidth="1"/>
    <col min="3" max="3" width="11.7109375" bestFit="1" customWidth="1"/>
    <col min="4" max="5" width="9.5703125" bestFit="1" customWidth="1"/>
    <col min="6" max="6" width="10.28515625" bestFit="1" customWidth="1"/>
    <col min="7" max="7" width="60" style="36" customWidth="1"/>
  </cols>
  <sheetData>
    <row r="5" spans="2:2" x14ac:dyDescent="0.25">
      <c r="B5" s="1" t="s">
        <v>24</v>
      </c>
    </row>
    <row r="6" spans="2:2" x14ac:dyDescent="0.25">
      <c r="B6" t="s">
        <v>35</v>
      </c>
    </row>
    <row r="7" spans="2:2" x14ac:dyDescent="0.25">
      <c r="B7" t="s">
        <v>40</v>
      </c>
    </row>
    <row r="8" spans="2:2" x14ac:dyDescent="0.25">
      <c r="B8" t="s">
        <v>25</v>
      </c>
    </row>
    <row r="9" spans="2:2" x14ac:dyDescent="0.25">
      <c r="B9" t="s">
        <v>26</v>
      </c>
    </row>
    <row r="10" spans="2:2" x14ac:dyDescent="0.25">
      <c r="B10" t="s">
        <v>27</v>
      </c>
    </row>
    <row r="11" spans="2:2" x14ac:dyDescent="0.25">
      <c r="B11" t="s">
        <v>28</v>
      </c>
    </row>
    <row r="12" spans="2:2" x14ac:dyDescent="0.25">
      <c r="B12" t="s">
        <v>29</v>
      </c>
    </row>
    <row r="13" spans="2:2" x14ac:dyDescent="0.25">
      <c r="B13" t="s">
        <v>30</v>
      </c>
    </row>
    <row r="14" spans="2:2" x14ac:dyDescent="0.25">
      <c r="B14" t="s">
        <v>31</v>
      </c>
    </row>
    <row r="15" spans="2:2" x14ac:dyDescent="0.25">
      <c r="B15" t="s">
        <v>32</v>
      </c>
    </row>
    <row r="16" spans="2:2" x14ac:dyDescent="0.25">
      <c r="B16" t="s">
        <v>34</v>
      </c>
    </row>
    <row r="17" spans="2:7" x14ac:dyDescent="0.25">
      <c r="B17" t="s">
        <v>33</v>
      </c>
    </row>
    <row r="18" spans="2:7" x14ac:dyDescent="0.25">
      <c r="B18" t="s">
        <v>37</v>
      </c>
    </row>
    <row r="19" spans="2:7" x14ac:dyDescent="0.25">
      <c r="B19" t="s">
        <v>2</v>
      </c>
    </row>
    <row r="20" spans="2:7" x14ac:dyDescent="0.25">
      <c r="B20" t="s">
        <v>38</v>
      </c>
    </row>
    <row r="21" spans="2:7" x14ac:dyDescent="0.25">
      <c r="B21" t="s">
        <v>36</v>
      </c>
      <c r="C21" t="s">
        <v>0</v>
      </c>
    </row>
    <row r="22" spans="2:7" x14ac:dyDescent="0.25">
      <c r="B22" s="10" t="s">
        <v>36</v>
      </c>
      <c r="C22" t="s">
        <v>37</v>
      </c>
    </row>
    <row r="23" spans="2:7" x14ac:dyDescent="0.25">
      <c r="B23" s="10" t="s">
        <v>36</v>
      </c>
      <c r="C23" t="s">
        <v>2</v>
      </c>
    </row>
    <row r="24" spans="2:7" x14ac:dyDescent="0.25">
      <c r="B24" s="10" t="s">
        <v>36</v>
      </c>
      <c r="C24" t="s">
        <v>39</v>
      </c>
    </row>
    <row r="26" spans="2:7" s="10" customFormat="1" x14ac:dyDescent="0.25">
      <c r="G26" s="36"/>
    </row>
    <row r="27" spans="2:7" s="10" customFormat="1" x14ac:dyDescent="0.25">
      <c r="G27" s="36"/>
    </row>
    <row r="28" spans="2:7" s="10" customFormat="1" x14ac:dyDescent="0.25">
      <c r="B28" t="s">
        <v>57</v>
      </c>
      <c r="G28" s="36"/>
    </row>
    <row r="30" spans="2:7" x14ac:dyDescent="0.25">
      <c r="B30" t="s">
        <v>41</v>
      </c>
      <c r="C30" t="s">
        <v>49</v>
      </c>
      <c r="D30" t="s">
        <v>50</v>
      </c>
      <c r="E30" t="s">
        <v>51</v>
      </c>
      <c r="F30" t="s">
        <v>52</v>
      </c>
      <c r="G30" s="36" t="s">
        <v>53</v>
      </c>
    </row>
    <row r="31" spans="2:7" ht="30" x14ac:dyDescent="0.25">
      <c r="B31" t="s">
        <v>35</v>
      </c>
      <c r="C31" t="s">
        <v>42</v>
      </c>
      <c r="D31" t="s">
        <v>42</v>
      </c>
      <c r="E31" s="10" t="s">
        <v>42</v>
      </c>
      <c r="F31" t="s">
        <v>42</v>
      </c>
      <c r="G31" s="36" t="s">
        <v>54</v>
      </c>
    </row>
    <row r="32" spans="2:7" x14ac:dyDescent="0.25">
      <c r="B32" t="s">
        <v>43</v>
      </c>
      <c r="C32" t="s">
        <v>42</v>
      </c>
      <c r="D32" t="s">
        <v>42</v>
      </c>
      <c r="E32" t="s">
        <v>42</v>
      </c>
      <c r="F32" s="10" t="s">
        <v>44</v>
      </c>
      <c r="G32" s="36" t="s">
        <v>85</v>
      </c>
    </row>
    <row r="33" spans="2:7" ht="30" x14ac:dyDescent="0.25">
      <c r="B33" t="s">
        <v>45</v>
      </c>
      <c r="C33" t="s">
        <v>42</v>
      </c>
      <c r="D33" t="s">
        <v>42</v>
      </c>
      <c r="E33" t="s">
        <v>42</v>
      </c>
      <c r="F33" t="s">
        <v>46</v>
      </c>
      <c r="G33" s="36" t="s">
        <v>55</v>
      </c>
    </row>
    <row r="34" spans="2:7" x14ac:dyDescent="0.25">
      <c r="B34" t="s">
        <v>47</v>
      </c>
      <c r="C34" t="s">
        <v>42</v>
      </c>
      <c r="D34" t="s">
        <v>42</v>
      </c>
      <c r="E34" t="s">
        <v>44</v>
      </c>
      <c r="F34" t="s">
        <v>46</v>
      </c>
      <c r="G34" s="36" t="s">
        <v>56</v>
      </c>
    </row>
    <row r="36" spans="2:7" x14ac:dyDescent="0.25">
      <c r="B36" t="s">
        <v>58</v>
      </c>
    </row>
    <row r="38" spans="2:7" x14ac:dyDescent="0.25">
      <c r="B38" t="s">
        <v>41</v>
      </c>
      <c r="C38" t="s">
        <v>49</v>
      </c>
      <c r="D38" t="s">
        <v>50</v>
      </c>
      <c r="E38" t="s">
        <v>51</v>
      </c>
      <c r="F38" t="s">
        <v>52</v>
      </c>
      <c r="G38" s="36" t="s">
        <v>53</v>
      </c>
    </row>
    <row r="39" spans="2:7" x14ac:dyDescent="0.25">
      <c r="B39" t="s">
        <v>86</v>
      </c>
      <c r="C39" t="s">
        <v>42</v>
      </c>
      <c r="D39" t="s">
        <v>42</v>
      </c>
      <c r="E39" t="s">
        <v>42</v>
      </c>
      <c r="F39" t="s">
        <v>42</v>
      </c>
      <c r="G39" s="36" t="s">
        <v>59</v>
      </c>
    </row>
    <row r="40" spans="2:7" x14ac:dyDescent="0.25">
      <c r="B40" t="s">
        <v>60</v>
      </c>
      <c r="C40" t="s">
        <v>42</v>
      </c>
      <c r="D40" t="s">
        <v>42</v>
      </c>
      <c r="E40" t="s">
        <v>44</v>
      </c>
      <c r="F40" t="s">
        <v>42</v>
      </c>
      <c r="G40" s="36" t="s">
        <v>61</v>
      </c>
    </row>
    <row r="41" spans="2:7" x14ac:dyDescent="0.25">
      <c r="B41" t="s">
        <v>62</v>
      </c>
      <c r="C41" t="s">
        <v>44</v>
      </c>
      <c r="D41" t="s">
        <v>44</v>
      </c>
      <c r="E41" t="s">
        <v>44</v>
      </c>
      <c r="F41" t="s">
        <v>42</v>
      </c>
      <c r="G41" s="36" t="s">
        <v>63</v>
      </c>
    </row>
    <row r="42" spans="2:7" x14ac:dyDescent="0.25">
      <c r="B42" t="s">
        <v>64</v>
      </c>
      <c r="C42" t="s">
        <v>42</v>
      </c>
      <c r="D42" t="s">
        <v>42</v>
      </c>
      <c r="E42" t="s">
        <v>42</v>
      </c>
      <c r="F42" t="s">
        <v>44</v>
      </c>
      <c r="G42" s="36" t="s">
        <v>65</v>
      </c>
    </row>
    <row r="43" spans="2:7" ht="30" x14ac:dyDescent="0.25">
      <c r="B43" t="s">
        <v>66</v>
      </c>
      <c r="C43" t="s">
        <v>42</v>
      </c>
      <c r="D43" t="s">
        <v>42</v>
      </c>
      <c r="E43" t="s">
        <v>46</v>
      </c>
      <c r="F43" t="s">
        <v>46</v>
      </c>
      <c r="G43" s="36" t="s">
        <v>67</v>
      </c>
    </row>
    <row r="44" spans="2:7" x14ac:dyDescent="0.25">
      <c r="B44" t="s">
        <v>68</v>
      </c>
      <c r="C44" t="s">
        <v>42</v>
      </c>
      <c r="D44" t="s">
        <v>42</v>
      </c>
      <c r="E44" t="s">
        <v>44</v>
      </c>
      <c r="F44" t="s">
        <v>44</v>
      </c>
      <c r="G44" s="36" t="s">
        <v>69</v>
      </c>
    </row>
    <row r="45" spans="2:7" x14ac:dyDescent="0.25">
      <c r="B45" t="s">
        <v>70</v>
      </c>
      <c r="C45" t="s">
        <v>42</v>
      </c>
      <c r="D45" t="s">
        <v>44</v>
      </c>
      <c r="E45" t="s">
        <v>44</v>
      </c>
      <c r="F45" t="s">
        <v>44</v>
      </c>
      <c r="G45" s="36" t="s">
        <v>71</v>
      </c>
    </row>
    <row r="46" spans="2:7" x14ac:dyDescent="0.25">
      <c r="B46" t="s">
        <v>87</v>
      </c>
      <c r="C46" s="10" t="s">
        <v>42</v>
      </c>
      <c r="D46" s="10" t="s">
        <v>42</v>
      </c>
      <c r="E46" s="10" t="s">
        <v>44</v>
      </c>
      <c r="F46" s="10" t="s">
        <v>44</v>
      </c>
    </row>
    <row r="47" spans="2:7" s="10" customFormat="1" x14ac:dyDescent="0.25">
      <c r="B47" s="10" t="s">
        <v>88</v>
      </c>
      <c r="C47" s="10" t="s">
        <v>42</v>
      </c>
      <c r="D47" s="10" t="s">
        <v>42</v>
      </c>
      <c r="E47" s="10" t="s">
        <v>44</v>
      </c>
      <c r="F47" s="10" t="s">
        <v>44</v>
      </c>
      <c r="G47" s="36"/>
    </row>
    <row r="48" spans="2:7" s="10" customFormat="1" x14ac:dyDescent="0.25">
      <c r="G48" s="36"/>
    </row>
    <row r="49" spans="2:7" x14ac:dyDescent="0.25">
      <c r="B49" t="s">
        <v>72</v>
      </c>
    </row>
    <row r="51" spans="2:7" x14ac:dyDescent="0.25">
      <c r="B51" t="s">
        <v>41</v>
      </c>
      <c r="C51" t="s">
        <v>49</v>
      </c>
      <c r="D51" t="s">
        <v>50</v>
      </c>
      <c r="E51" t="s">
        <v>51</v>
      </c>
      <c r="F51" t="s">
        <v>52</v>
      </c>
      <c r="G51" s="36" t="s">
        <v>53</v>
      </c>
    </row>
    <row r="52" spans="2:7" x14ac:dyDescent="0.25">
      <c r="B52" t="s">
        <v>90</v>
      </c>
      <c r="C52" t="s">
        <v>44</v>
      </c>
      <c r="D52" t="s">
        <v>44</v>
      </c>
      <c r="E52" t="s">
        <v>44</v>
      </c>
      <c r="F52" t="s">
        <v>42</v>
      </c>
      <c r="G52" s="36" t="s">
        <v>73</v>
      </c>
    </row>
    <row r="53" spans="2:7" x14ac:dyDescent="0.25">
      <c r="B53" t="s">
        <v>28</v>
      </c>
      <c r="C53" t="s">
        <v>42</v>
      </c>
      <c r="D53" t="s">
        <v>42</v>
      </c>
      <c r="E53" t="s">
        <v>42</v>
      </c>
      <c r="F53" t="s">
        <v>46</v>
      </c>
      <c r="G53" s="36" t="s">
        <v>74</v>
      </c>
    </row>
    <row r="54" spans="2:7" x14ac:dyDescent="0.25">
      <c r="B54" t="s">
        <v>48</v>
      </c>
      <c r="C54" t="s">
        <v>44</v>
      </c>
      <c r="D54" t="s">
        <v>44</v>
      </c>
      <c r="E54" t="s">
        <v>44</v>
      </c>
      <c r="F54" t="s">
        <v>42</v>
      </c>
      <c r="G54" s="36" t="s">
        <v>75</v>
      </c>
    </row>
    <row r="55" spans="2:7" x14ac:dyDescent="0.25">
      <c r="B55" t="s">
        <v>76</v>
      </c>
      <c r="C55" t="s">
        <v>42</v>
      </c>
      <c r="D55" t="s">
        <v>42</v>
      </c>
      <c r="E55" t="s">
        <v>44</v>
      </c>
      <c r="F55" t="s">
        <v>44</v>
      </c>
      <c r="G55" s="36" t="s">
        <v>77</v>
      </c>
    </row>
    <row r="56" spans="2:7" ht="30" x14ac:dyDescent="0.25">
      <c r="B56" t="s">
        <v>27</v>
      </c>
      <c r="C56" t="s">
        <v>42</v>
      </c>
      <c r="D56" t="s">
        <v>44</v>
      </c>
      <c r="E56" t="s">
        <v>44</v>
      </c>
      <c r="F56" t="s">
        <v>44</v>
      </c>
      <c r="G56" s="36" t="s">
        <v>78</v>
      </c>
    </row>
    <row r="58" spans="2:7" x14ac:dyDescent="0.25">
      <c r="B58" t="s">
        <v>79</v>
      </c>
    </row>
    <row r="60" spans="2:7" x14ac:dyDescent="0.25">
      <c r="B60" t="s">
        <v>41</v>
      </c>
      <c r="C60" t="s">
        <v>49</v>
      </c>
      <c r="D60" t="s">
        <v>50</v>
      </c>
      <c r="E60" t="s">
        <v>51</v>
      </c>
      <c r="F60" t="s">
        <v>52</v>
      </c>
      <c r="G60" s="36" t="s">
        <v>53</v>
      </c>
    </row>
    <row r="61" spans="2:7" x14ac:dyDescent="0.25">
      <c r="B61" t="s">
        <v>30</v>
      </c>
      <c r="C61" t="s">
        <v>42</v>
      </c>
      <c r="D61" t="s">
        <v>44</v>
      </c>
      <c r="E61" t="s">
        <v>44</v>
      </c>
      <c r="F61" t="s">
        <v>44</v>
      </c>
      <c r="G61" s="36" t="s">
        <v>80</v>
      </c>
    </row>
    <row r="62" spans="2:7" x14ac:dyDescent="0.25">
      <c r="B62" t="s">
        <v>81</v>
      </c>
      <c r="C62" t="s">
        <v>42</v>
      </c>
      <c r="D62" t="s">
        <v>42</v>
      </c>
      <c r="E62" t="s">
        <v>44</v>
      </c>
      <c r="F62" t="s">
        <v>44</v>
      </c>
      <c r="G62" s="36" t="s">
        <v>82</v>
      </c>
    </row>
    <row r="63" spans="2:7" ht="30" x14ac:dyDescent="0.25">
      <c r="B63" t="s">
        <v>83</v>
      </c>
      <c r="C63" t="s">
        <v>42</v>
      </c>
      <c r="D63" t="s">
        <v>42</v>
      </c>
      <c r="E63" t="s">
        <v>42</v>
      </c>
      <c r="F63" t="s">
        <v>46</v>
      </c>
      <c r="G63" s="36" t="s">
        <v>84</v>
      </c>
    </row>
    <row r="64" spans="2:7" x14ac:dyDescent="0.25">
      <c r="B64" t="s">
        <v>89</v>
      </c>
      <c r="C64" s="10" t="s">
        <v>42</v>
      </c>
      <c r="D64" s="10" t="s">
        <v>42</v>
      </c>
      <c r="E64" s="10" t="s">
        <v>42</v>
      </c>
      <c r="F64" s="10" t="s">
        <v>44</v>
      </c>
    </row>
  </sheetData>
  <pageMargins left="0.511811024" right="0.511811024" top="0.78740157499999996" bottom="0.78740157499999996" header="0.31496062000000002" footer="0.31496062000000002"/>
  <pageSetup paperSize="9" scale="44" fitToWidth="0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C7AE-AC83-419E-9663-8CD878A6AB70}">
  <dimension ref="C5:G13"/>
  <sheetViews>
    <sheetView workbookViewId="0">
      <selection activeCell="C5" sqref="C5:G13"/>
    </sheetView>
  </sheetViews>
  <sheetFormatPr defaultRowHeight="15" x14ac:dyDescent="0.25"/>
  <cols>
    <col min="5" max="5" width="9.7109375" bestFit="1" customWidth="1"/>
    <col min="6" max="6" width="13.5703125" customWidth="1"/>
  </cols>
  <sheetData>
    <row r="5" spans="3:7" x14ac:dyDescent="0.25">
      <c r="C5" s="34"/>
    </row>
    <row r="6" spans="3:7" x14ac:dyDescent="0.25">
      <c r="C6" t="s">
        <v>1</v>
      </c>
      <c r="D6">
        <v>1000</v>
      </c>
      <c r="E6">
        <v>20</v>
      </c>
    </row>
    <row r="7" spans="3:7" x14ac:dyDescent="0.25">
      <c r="C7" t="s">
        <v>4</v>
      </c>
      <c r="D7">
        <v>1020</v>
      </c>
      <c r="E7">
        <v>18</v>
      </c>
    </row>
    <row r="8" spans="3:7" x14ac:dyDescent="0.25">
      <c r="D8" t="s">
        <v>1</v>
      </c>
      <c r="E8">
        <v>1038</v>
      </c>
      <c r="F8">
        <v>16.2</v>
      </c>
    </row>
    <row r="9" spans="3:7" x14ac:dyDescent="0.25">
      <c r="D9" t="s">
        <v>4</v>
      </c>
      <c r="E9">
        <v>1054.2</v>
      </c>
      <c r="F9">
        <v>14.579999999999997</v>
      </c>
    </row>
    <row r="10" spans="3:7" x14ac:dyDescent="0.25">
      <c r="E10" t="s">
        <v>1</v>
      </c>
      <c r="F10" s="35">
        <v>1068.78</v>
      </c>
      <c r="G10">
        <v>131.22000000000003</v>
      </c>
    </row>
    <row r="11" spans="3:7" x14ac:dyDescent="0.25">
      <c r="D11" t="s">
        <v>5</v>
      </c>
    </row>
    <row r="12" spans="3:7" x14ac:dyDescent="0.25">
      <c r="C12" t="s">
        <v>5</v>
      </c>
    </row>
    <row r="13" spans="3:7" x14ac:dyDescent="0.25">
      <c r="C13" s="3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Comissões</vt:lpstr>
      <vt:lpstr>Funcionalidades</vt:lpstr>
      <vt:lpstr>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Darlan Oliveira Paiva</dc:creator>
  <cp:lastModifiedBy>Darlan Oliveira Paiva</cp:lastModifiedBy>
  <cp:lastPrinted>2026-05-08T21:07:03Z</cp:lastPrinted>
  <dcterms:created xsi:type="dcterms:W3CDTF">2026-05-08T15:59:50Z</dcterms:created>
  <dcterms:modified xsi:type="dcterms:W3CDTF">2026-05-08T22:51:04Z</dcterms:modified>
</cp:coreProperties>
</file>